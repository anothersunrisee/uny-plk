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272 Jam 10 Anggota" sheetId="1" state="visible" r:id="rId1"/>
    <sheet xmlns:r="http://schemas.openxmlformats.org/officeDocument/2006/relationships" name="Template Log Harian Angg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B4D3E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4D3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38" customWidth="1" min="4" max="4"/>
    <col width="12" customWidth="1" min="5" max="5"/>
    <col width="28" customWidth="1" min="6" max="6"/>
    <col width="30" customWidth="1" min="7" max="7"/>
    <col width="22" customWidth="1" min="8" max="8"/>
    <col width="17" customWidth="1" min="9" max="9"/>
    <col width="14" customWidth="1" min="10" max="10"/>
    <col width="61" customWidth="1" min="11" max="11"/>
  </cols>
  <sheetData>
    <row r="1">
      <c r="A1" s="1" t="inlineStr">
        <is>
          <t>TIM PLK NIRANTARA 2027 — REKAPITULASI PEMENUHAN 272 JAM KERJA EFEKTIF</t>
        </is>
      </c>
    </row>
    <row r="2">
      <c r="A2" s="2" t="inlineStr">
        <is>
          <t>Syarat Wajib Konversi SKS PLK UNY (Minimal 272 Jam Riil) | Penanggung Jawab Logbook: Novelia Harlinda (Veli)</t>
        </is>
      </c>
    </row>
    <row r="3"/>
    <row r="4" ht="28" customHeight="1">
      <c r="A4" s="3" t="inlineStr">
        <is>
          <t>No</t>
        </is>
      </c>
      <c r="B4" s="3" t="inlineStr">
        <is>
          <t>Nama Mahasiswa</t>
        </is>
      </c>
      <c r="C4" s="3" t="inlineStr">
        <is>
          <t>NIM</t>
        </is>
      </c>
      <c r="D4" s="3" t="inlineStr">
        <is>
          <t>Program Studi</t>
        </is>
      </c>
      <c r="E4" s="3" t="inlineStr">
        <is>
          <t>Fakultas</t>
        </is>
      </c>
      <c r="F4" s="3" t="inlineStr">
        <is>
          <t>Jam Kerja Pre-PLK (Jogja)</t>
        </is>
      </c>
      <c r="G4" s="3" t="inlineStr">
        <is>
          <t>Jam Kerja Lapangan (Klaten)</t>
        </is>
      </c>
      <c r="H4" s="3" t="inlineStr">
        <is>
          <t>Total Jam Akumulasi</t>
        </is>
      </c>
      <c r="I4" s="3" t="inlineStr">
        <is>
          <t>Target Minimal</t>
        </is>
      </c>
      <c r="J4" s="3" t="inlineStr">
        <is>
          <t>Progres (%)</t>
        </is>
      </c>
      <c r="K4" s="3" t="inlineStr">
        <is>
          <t>Status Kelulusan Logbook</t>
        </is>
      </c>
    </row>
    <row r="5" ht="20" customHeight="1">
      <c r="A5" s="4" t="n">
        <v>1</v>
      </c>
      <c r="B5" s="5" t="inlineStr">
        <is>
          <t>Fajar Ahnaf Mahardika</t>
        </is>
      </c>
      <c r="C5" s="4" t="inlineStr">
        <is>
          <t>24050530030</t>
        </is>
      </c>
      <c r="D5" s="5" t="inlineStr">
        <is>
          <t>Pendidikan Teknik Informatika</t>
        </is>
      </c>
      <c r="E5" s="4" t="inlineStr">
        <is>
          <t>FT</t>
        </is>
      </c>
      <c r="F5" s="6" t="n">
        <v>24</v>
      </c>
      <c r="G5" s="6" t="n">
        <v>0</v>
      </c>
      <c r="H5" s="7">
        <f>F5+G5</f>
        <v/>
      </c>
      <c r="I5" s="6" t="n">
        <v>272</v>
      </c>
      <c r="J5" s="8">
        <f>H5/I5</f>
        <v/>
      </c>
      <c r="K5" s="4">
        <f>IF(H5&gt;=I5, "MEMENUHI SYARAT (LULUS)", "BELUM MEMENUHI")</f>
        <v/>
      </c>
    </row>
    <row r="6" ht="20" customHeight="1">
      <c r="A6" s="4" t="n">
        <v>2</v>
      </c>
      <c r="B6" s="5" t="inlineStr">
        <is>
          <t>Muhadzdzib Terry Al Fauzan</t>
        </is>
      </c>
      <c r="C6" s="4" t="inlineStr">
        <is>
          <t>24050530052</t>
        </is>
      </c>
      <c r="D6" s="5" t="inlineStr">
        <is>
          <t>Pendidikan Teknik Informatika</t>
        </is>
      </c>
      <c r="E6" s="4" t="inlineStr">
        <is>
          <t>FT</t>
        </is>
      </c>
      <c r="F6" s="6" t="n">
        <v>24</v>
      </c>
      <c r="G6" s="6" t="n">
        <v>0</v>
      </c>
      <c r="H6" s="7">
        <f>F6+G6</f>
        <v/>
      </c>
      <c r="I6" s="6" t="n">
        <v>272</v>
      </c>
      <c r="J6" s="8">
        <f>H6/I6</f>
        <v/>
      </c>
      <c r="K6" s="4">
        <f>IF(H6&gt;=I6, "MEMENUHI SYARAT (LULUS)", "BELUM MEMENUHI")</f>
        <v/>
      </c>
    </row>
    <row r="7" ht="20" customHeight="1">
      <c r="A7" s="4" t="n">
        <v>3</v>
      </c>
      <c r="B7" s="5" t="inlineStr">
        <is>
          <t>Muhamad Riski</t>
        </is>
      </c>
      <c r="C7" s="4" t="inlineStr">
        <is>
          <t>24050530029</t>
        </is>
      </c>
      <c r="D7" s="5" t="inlineStr">
        <is>
          <t>Pendidikan Teknik Informatika</t>
        </is>
      </c>
      <c r="E7" s="4" t="inlineStr">
        <is>
          <t>FT</t>
        </is>
      </c>
      <c r="F7" s="6" t="n">
        <v>24</v>
      </c>
      <c r="G7" s="6" t="n">
        <v>0</v>
      </c>
      <c r="H7" s="7">
        <f>F7+G7</f>
        <v/>
      </c>
      <c r="I7" s="6" t="n">
        <v>272</v>
      </c>
      <c r="J7" s="8">
        <f>H7/I7</f>
        <v/>
      </c>
      <c r="K7" s="4">
        <f>IF(H7&gt;=I7, "MEMENUHI SYARAT (LULUS)", "BELUM MEMENUHI")</f>
        <v/>
      </c>
    </row>
    <row r="8" ht="20" customHeight="1">
      <c r="A8" s="4" t="n">
        <v>4</v>
      </c>
      <c r="B8" s="5" t="inlineStr">
        <is>
          <t>Novelia Harlinda (Veli)</t>
        </is>
      </c>
      <c r="C8" s="4" t="inlineStr">
        <is>
          <t>24050530045</t>
        </is>
      </c>
      <c r="D8" s="5" t="inlineStr">
        <is>
          <t>Pendidikan Teknik Informatika</t>
        </is>
      </c>
      <c r="E8" s="4" t="inlineStr">
        <is>
          <t>FT</t>
        </is>
      </c>
      <c r="F8" s="6" t="n">
        <v>24</v>
      </c>
      <c r="G8" s="6" t="n">
        <v>0</v>
      </c>
      <c r="H8" s="7">
        <f>F8+G8</f>
        <v/>
      </c>
      <c r="I8" s="6" t="n">
        <v>272</v>
      </c>
      <c r="J8" s="8">
        <f>H8/I8</f>
        <v/>
      </c>
      <c r="K8" s="4">
        <f>IF(H8&gt;=I8, "MEMENUHI SYARAT (LULUS)", "BELUM MEMENUHI")</f>
        <v/>
      </c>
    </row>
    <row r="9" ht="20" customHeight="1">
      <c r="A9" s="4" t="n">
        <v>5</v>
      </c>
      <c r="B9" s="5" t="inlineStr">
        <is>
          <t>Dinda Amelia Putri</t>
        </is>
      </c>
      <c r="C9" s="4" t="inlineStr">
        <is>
          <t>24080330053</t>
        </is>
      </c>
      <c r="D9" s="5" t="inlineStr">
        <is>
          <t>Pendidikan Administrasi Perkantoran</t>
        </is>
      </c>
      <c r="E9" s="4" t="inlineStr">
        <is>
          <t>FEB</t>
        </is>
      </c>
      <c r="F9" s="6" t="n">
        <v>24</v>
      </c>
      <c r="G9" s="6" t="n">
        <v>0</v>
      </c>
      <c r="H9" s="7">
        <f>F9+G9</f>
        <v/>
      </c>
      <c r="I9" s="6" t="n">
        <v>272</v>
      </c>
      <c r="J9" s="8">
        <f>H9/I9</f>
        <v/>
      </c>
      <c r="K9" s="4">
        <f>IF(H9&gt;=I9, "MEMENUHI SYARAT (LULUS)", "BELUM MEMENUHI")</f>
        <v/>
      </c>
    </row>
    <row r="10" ht="20" customHeight="1">
      <c r="A10" s="4" t="n">
        <v>6</v>
      </c>
      <c r="B10" s="5" t="inlineStr">
        <is>
          <t>Faidatul Anugraheni M.</t>
        </is>
      </c>
      <c r="C10" s="4" t="inlineStr">
        <is>
          <t>24080330078</t>
        </is>
      </c>
      <c r="D10" s="5" t="inlineStr">
        <is>
          <t>Pendidikan Administrasi Perkantoran</t>
        </is>
      </c>
      <c r="E10" s="4" t="inlineStr">
        <is>
          <t>FEB</t>
        </is>
      </c>
      <c r="F10" s="6" t="n">
        <v>24</v>
      </c>
      <c r="G10" s="6" t="n">
        <v>0</v>
      </c>
      <c r="H10" s="7">
        <f>F10+G10</f>
        <v/>
      </c>
      <c r="I10" s="6" t="n">
        <v>272</v>
      </c>
      <c r="J10" s="8">
        <f>H10/I10</f>
        <v/>
      </c>
      <c r="K10" s="4">
        <f>IF(H10&gt;=I10, "MEMENUHI SYARAT (LULUS)", "BELUM MEMENUHI")</f>
        <v/>
      </c>
    </row>
    <row r="11" ht="20" customHeight="1">
      <c r="A11" s="4" t="n">
        <v>7</v>
      </c>
      <c r="B11" s="5" t="inlineStr">
        <is>
          <t>Intan Milansari</t>
        </is>
      </c>
      <c r="C11" s="4" t="inlineStr">
        <is>
          <t>24030830059</t>
        </is>
      </c>
      <c r="D11" s="5" t="inlineStr">
        <is>
          <t>Biologi</t>
        </is>
      </c>
      <c r="E11" s="4" t="inlineStr">
        <is>
          <t>FMIPA</t>
        </is>
      </c>
      <c r="F11" s="6" t="n">
        <v>24</v>
      </c>
      <c r="G11" s="6" t="n">
        <v>0</v>
      </c>
      <c r="H11" s="7">
        <f>F11+G11</f>
        <v/>
      </c>
      <c r="I11" s="6" t="n">
        <v>272</v>
      </c>
      <c r="J11" s="8">
        <f>H11/I11</f>
        <v/>
      </c>
      <c r="K11" s="4">
        <f>IF(H11&gt;=I11, "MEMENUHI SYARAT (LULUS)", "BELUM MEMENUHI")</f>
        <v/>
      </c>
    </row>
    <row r="12" ht="20" customHeight="1">
      <c r="A12" s="4" t="n">
        <v>8</v>
      </c>
      <c r="B12" s="5" t="inlineStr">
        <is>
          <t>Zalfa Khoirunnisa</t>
        </is>
      </c>
      <c r="C12" s="4" t="inlineStr">
        <is>
          <t>24030830068</t>
        </is>
      </c>
      <c r="D12" s="5" t="inlineStr">
        <is>
          <t>Biologi</t>
        </is>
      </c>
      <c r="E12" s="4" t="inlineStr">
        <is>
          <t>FMIPA</t>
        </is>
      </c>
      <c r="F12" s="6" t="n">
        <v>24</v>
      </c>
      <c r="G12" s="6" t="n">
        <v>0</v>
      </c>
      <c r="H12" s="7">
        <f>F12+G12</f>
        <v/>
      </c>
      <c r="I12" s="6" t="n">
        <v>272</v>
      </c>
      <c r="J12" s="8">
        <f>H12/I12</f>
        <v/>
      </c>
      <c r="K12" s="4">
        <f>IF(H12&gt;=I12, "MEMENUHI SYARAT (LULUS)", "BELUM MEMENUHI")</f>
        <v/>
      </c>
    </row>
    <row r="13" ht="20" customHeight="1">
      <c r="A13" s="4" t="n">
        <v>9</v>
      </c>
      <c r="B13" s="5" t="inlineStr">
        <is>
          <t>Alvina Aulia Az Zahra</t>
        </is>
      </c>
      <c r="C13" s="4" t="inlineStr">
        <is>
          <t>24010530018</t>
        </is>
      </c>
      <c r="D13" s="5" t="inlineStr">
        <is>
          <t>Teknologi Pendidikan</t>
        </is>
      </c>
      <c r="E13" s="4" t="inlineStr">
        <is>
          <t>FIP</t>
        </is>
      </c>
      <c r="F13" s="6" t="n">
        <v>24</v>
      </c>
      <c r="G13" s="6" t="n">
        <v>0</v>
      </c>
      <c r="H13" s="7">
        <f>F13+G13</f>
        <v/>
      </c>
      <c r="I13" s="6" t="n">
        <v>272</v>
      </c>
      <c r="J13" s="8">
        <f>H13/I13</f>
        <v/>
      </c>
      <c r="K13" s="4">
        <f>IF(H13&gt;=I13, "MEMENUHI SYARAT (LULUS)", "BELUM MEMENUHI")</f>
        <v/>
      </c>
    </row>
    <row r="14" ht="20" customHeight="1">
      <c r="A14" s="4" t="n">
        <v>10</v>
      </c>
      <c r="B14" s="5" t="inlineStr">
        <is>
          <t>Krissandra Siagian</t>
        </is>
      </c>
      <c r="C14" s="4" t="inlineStr">
        <is>
          <t>24010530004</t>
        </is>
      </c>
      <c r="D14" s="5" t="inlineStr">
        <is>
          <t>Teknologi Pendidikan</t>
        </is>
      </c>
      <c r="E14" s="4" t="inlineStr">
        <is>
          <t>FIP</t>
        </is>
      </c>
      <c r="F14" s="6" t="n">
        <v>24</v>
      </c>
      <c r="G14" s="6" t="n">
        <v>0</v>
      </c>
      <c r="H14" s="7">
        <f>F14+G14</f>
        <v/>
      </c>
      <c r="I14" s="6" t="n">
        <v>272</v>
      </c>
      <c r="J14" s="8">
        <f>H14/I14</f>
        <v/>
      </c>
      <c r="K14" s="4">
        <f>IF(H14&gt;=I14, "MEMENUHI SYARAT (LULUS)", "BELUM MEMENUHI")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5" customWidth="1" min="5" max="5"/>
    <col width="32" customWidth="1" min="6" max="6"/>
    <col width="38" customWidth="1" min="7" max="7"/>
    <col width="83" customWidth="1" min="8" max="8"/>
    <col width="31" customWidth="1" min="9" max="9"/>
    <col width="22" customWidth="1" min="10" max="10"/>
  </cols>
  <sheetData>
    <row r="1">
      <c r="A1" s="1" t="inlineStr">
        <is>
          <t>LOGBOOK HARIAN KEGIATAN INDIVIDU — PLK UNY 2027</t>
        </is>
      </c>
    </row>
    <row r="2">
      <c r="A2" s="2" t="inlineStr">
        <is>
          <t>Format pengisian aktivitas harian mandiri untuk divalidasi oleh Ketua Tim &amp; DPL</t>
        </is>
      </c>
    </row>
    <row r="3"/>
    <row r="4" ht="28" customHeight="1">
      <c r="A4" s="3" t="inlineStr">
        <is>
          <t>No</t>
        </is>
      </c>
      <c r="B4" s="3" t="inlineStr">
        <is>
          <t>Hari / Tanggal</t>
        </is>
      </c>
      <c r="C4" s="3" t="inlineStr">
        <is>
          <t>Waktu Mulai</t>
        </is>
      </c>
      <c r="D4" s="3" t="inlineStr">
        <is>
          <t>Waktu Selesai</t>
        </is>
      </c>
      <c r="E4" s="3" t="inlineStr">
        <is>
          <t>Durasi (Jam)</t>
        </is>
      </c>
      <c r="F4" s="3" t="inlineStr">
        <is>
          <t>Lokasi Kegiatan</t>
        </is>
      </c>
      <c r="G4" s="3" t="inlineStr">
        <is>
          <t>Kategori (Pre-PLK / Posko / Proker)</t>
        </is>
      </c>
      <c r="H4" s="3" t="inlineStr">
        <is>
          <t>Uraian Aktivitas Rinci</t>
        </is>
      </c>
      <c r="I4" s="3" t="inlineStr">
        <is>
          <t>Output / Bukti Kegiatan</t>
        </is>
      </c>
      <c r="J4" s="3" t="inlineStr">
        <is>
          <t>Status Validasi DPL</t>
        </is>
      </c>
    </row>
    <row r="5" ht="20" customHeight="1">
      <c r="A5" s="4" t="n">
        <v>1</v>
      </c>
      <c r="B5" s="4" t="inlineStr">
        <is>
          <t>Sabtu, 24/10/2026</t>
        </is>
      </c>
      <c r="C5" s="4" t="inlineStr">
        <is>
          <t>07:30</t>
        </is>
      </c>
      <c r="D5" s="4" t="inlineStr">
        <is>
          <t>16:00</t>
        </is>
      </c>
      <c r="E5" s="7" t="n">
        <v>8.5</v>
      </c>
      <c r="F5" s="5" t="inlineStr">
        <is>
          <t>Desa Wonosari &amp; Posko Majegan</t>
        </is>
      </c>
      <c r="G5" s="5" t="inlineStr">
        <is>
          <t>Pre-PLK (Survei)</t>
        </is>
      </c>
      <c r="H5" s="5" t="inlineStr">
        <is>
          <t>Ekspedisi survei lapangan 10 orang, audiensi RW 01, Kades, dan audit fisik posko</t>
        </is>
      </c>
      <c r="I5" s="5" t="inlineStr">
        <is>
          <t>Notulensi &amp; Foto Dokumentasi</t>
        </is>
      </c>
      <c r="J5" s="4" t="inlineStr">
        <is>
          <t>Tervalidasi</t>
        </is>
      </c>
    </row>
    <row r="6" ht="20" customHeight="1">
      <c r="A6" s="4" t="n">
        <v>2</v>
      </c>
      <c r="B6" s="4" t="inlineStr">
        <is>
          <t>Rabu, 21/10/2026</t>
        </is>
      </c>
      <c r="C6" s="4" t="inlineStr">
        <is>
          <t>19:30</t>
        </is>
      </c>
      <c r="D6" s="4" t="inlineStr">
        <is>
          <t>22:00</t>
        </is>
      </c>
      <c r="E6" s="7" t="n">
        <v>2.5</v>
      </c>
      <c r="F6" s="5" t="inlineStr">
        <is>
          <t>Daring (Google Meet)</t>
        </is>
      </c>
      <c r="G6" s="5" t="inlineStr">
        <is>
          <t>Pre-PLK (Rapat)</t>
        </is>
      </c>
      <c r="H6" s="5" t="inlineStr">
        <is>
          <t>Rapat koordinasi persiapan survei Klaten, pembagian instrumen 3 sub-tim</t>
        </is>
      </c>
      <c r="I6" s="5" t="inlineStr">
        <is>
          <t>Notulensi Rapat Internal</t>
        </is>
      </c>
      <c r="J6" s="4" t="inlineStr">
        <is>
          <t>Tervalidasi</t>
        </is>
      </c>
    </row>
    <row r="7" ht="20" customHeight="1">
      <c r="A7" s="4" t="n">
        <v>3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20" customHeight="1">
      <c r="A8" s="4" t="n">
        <v>4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20" customHeight="1">
      <c r="A9" s="4" t="n">
        <v>5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20" customHeight="1">
      <c r="A10" s="4" t="n">
        <v>6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0" customHeight="1">
      <c r="A11" s="4" t="n">
        <v>7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0" customHeight="1">
      <c r="A12" s="4" t="n">
        <v>8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4" t="n">
        <v>9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0" customHeight="1">
      <c r="A14" s="4" t="n">
        <v>10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0" customHeight="1">
      <c r="A15" s="4" t="n">
        <v>11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20" customHeight="1">
      <c r="A16" s="4" t="n">
        <v>12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20" customHeight="1">
      <c r="A17" s="4" t="n">
        <v>13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 ht="20" customHeight="1">
      <c r="A18" s="4" t="n">
        <v>14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20" customHeight="1">
      <c r="A19" s="4" t="n">
        <v>15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 ht="20" customHeight="1">
      <c r="A20" s="4" t="n">
        <v>16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20" customHeight="1">
      <c r="A21" s="4" t="n">
        <v>17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 ht="20" customHeight="1">
      <c r="A22" s="4" t="n">
        <v>18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20" customHeight="1">
      <c r="A23" s="4" t="n">
        <v>19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 ht="20" customHeight="1">
      <c r="A24" s="4" t="n">
        <v>20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20" customHeight="1">
      <c r="A25" s="4" t="n">
        <v>21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2026-10-26T07:28:17Z</dcterms:created>
  <dcterms:modified xmlns:dcterms="http://purl.org/dc/terms/" xmlns:xsi="http://www.w3.org/2001/XMLSchema-instance" xsi:type="dcterms:W3CDTF">2026-10-26T07:28:17Z</dcterms:modified>
</cp:coreProperties>
</file>