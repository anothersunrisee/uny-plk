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Iuran Kas" sheetId="1" state="visible" r:id="rId1"/>
    <sheet xmlns:r="http://schemas.openxmlformats.org/officeDocument/2006/relationships" name="Buku Kas Umum" sheetId="2" state="visible" r:id="rId2"/>
    <sheet xmlns:r="http://schemas.openxmlformats.org/officeDocument/2006/relationships" name="RAB Induk Proker &amp; Posk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 &quot;#,##0"/>
  </numFmts>
  <fonts count="5">
    <font>
      <name val="Calibri"/>
      <family val="2"/>
      <color theme="1"/>
      <sz val="11"/>
      <scheme val="minor"/>
    </font>
    <font>
      <name val="Calibri"/>
      <b val="1"/>
      <color rgb="001B4D3E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9FBF9"/>
        <bgColor rgb="00F9FBF9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B4D3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0" fontId="0" fillId="4" borderId="2" pivotButton="0" quotePrefix="0" xfId="0"/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0" fontId="0" fillId="0" borderId="2" pivotButton="0" quotePrefix="0" xfId="0"/>
    <xf numFmtId="164" fontId="0" fillId="0" borderId="2" pivotButton="0" quotePrefix="0" xfId="0"/>
    <xf numFmtId="164" fontId="4" fillId="0" borderId="2" pivotButton="0" quotePrefix="0" xfId="0"/>
    <xf numFmtId="0" fontId="4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7" customWidth="1" min="10" max="10"/>
    <col width="15" customWidth="1" min="11" max="11"/>
    <col width="63" customWidth="1" min="12" max="12"/>
    <col width="20" customWidth="1" min="13" max="13"/>
  </cols>
  <sheetData>
    <row r="1">
      <c r="A1" s="1" t="inlineStr">
        <is>
          <t>TIM PLK NIRANTARA 2027 — REKAPITULASI IURAN KAS BULANAN</t>
        </is>
      </c>
    </row>
    <row r="2">
      <c r="A2" s="2" t="inlineStr">
        <is>
          <t>Iuran Wajib Rp 50.000 / Anggota / Bulan (November 2026 s.d. Maret 2027) | Penanggung Jawab: Faidatul &amp; Zalfa</t>
        </is>
      </c>
    </row>
    <row r="3"/>
    <row r="4" ht="28" customHeight="1">
      <c r="A4" s="3" t="inlineStr">
        <is>
          <t>No</t>
        </is>
      </c>
      <c r="B4" s="3" t="inlineStr">
        <is>
          <t>Nama Lengkap</t>
        </is>
      </c>
      <c r="C4" s="3" t="inlineStr">
        <is>
          <t>Asal Prodi</t>
        </is>
      </c>
      <c r="D4" s="3" t="inlineStr">
        <is>
          <t>Fakultas</t>
        </is>
      </c>
      <c r="E4" s="3" t="inlineStr">
        <is>
          <t>Nov 2026</t>
        </is>
      </c>
      <c r="F4" s="3" t="inlineStr">
        <is>
          <t>Des 2026</t>
        </is>
      </c>
      <c r="G4" s="3" t="inlineStr">
        <is>
          <t>Jan 2027</t>
        </is>
      </c>
      <c r="H4" s="3" t="inlineStr">
        <is>
          <t>Feb 2027</t>
        </is>
      </c>
      <c r="I4" s="3" t="inlineStr">
        <is>
          <t>Mar 2027</t>
        </is>
      </c>
      <c r="J4" s="3" t="inlineStr">
        <is>
          <t>Total Terbayar</t>
        </is>
      </c>
      <c r="K4" s="3" t="inlineStr">
        <is>
          <t>Target Wajib</t>
        </is>
      </c>
      <c r="L4" s="3" t="inlineStr">
        <is>
          <t>Status Pembayaran</t>
        </is>
      </c>
      <c r="M4" s="3" t="inlineStr">
        <is>
          <t>Catatan Bendahara</t>
        </is>
      </c>
    </row>
    <row r="5" ht="20" customHeight="1">
      <c r="A5" s="4" t="n">
        <v>1</v>
      </c>
      <c r="B5" s="5" t="inlineStr">
        <is>
          <t>Fajar Ahnaf Mahardika</t>
        </is>
      </c>
      <c r="C5" s="5" t="inlineStr">
        <is>
          <t>Pendidikan Teknik Informatika</t>
        </is>
      </c>
      <c r="D5" s="4" t="inlineStr">
        <is>
          <t>FT</t>
        </is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7">
        <f>SUM(E5:I5)</f>
        <v/>
      </c>
      <c r="K5" s="6" t="n">
        <v>250000</v>
      </c>
      <c r="L5" s="4">
        <f>IF(J5&gt;=K5, "LUNAS", IF(J5&gt;0, "MENCICIL", "BELUM BAYAR"))</f>
        <v/>
      </c>
      <c r="M5" s="5" t="inlineStr"/>
    </row>
    <row r="6" ht="20" customHeight="1">
      <c r="A6" s="8" t="n">
        <v>2</v>
      </c>
      <c r="B6" s="9" t="inlineStr">
        <is>
          <t>Muhadzdzib Terry Al Fauzan</t>
        </is>
      </c>
      <c r="C6" s="9" t="inlineStr">
        <is>
          <t>Pendidikan Teknik Informatika</t>
        </is>
      </c>
      <c r="D6" s="8" t="inlineStr">
        <is>
          <t>FT</t>
        </is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1">
        <f>SUM(E6:I6)</f>
        <v/>
      </c>
      <c r="K6" s="10" t="n">
        <v>250000</v>
      </c>
      <c r="L6" s="8">
        <f>IF(J6&gt;=K6, "LUNAS", IF(J6&gt;0, "MENCICIL", "BELUM BAYAR"))</f>
        <v/>
      </c>
      <c r="M6" s="9" t="inlineStr"/>
    </row>
    <row r="7" ht="20" customHeight="1">
      <c r="A7" s="4" t="n">
        <v>3</v>
      </c>
      <c r="B7" s="5" t="inlineStr">
        <is>
          <t>Muhamad Riski</t>
        </is>
      </c>
      <c r="C7" s="5" t="inlineStr">
        <is>
          <t>Pendidikan Teknik Informatika</t>
        </is>
      </c>
      <c r="D7" s="4" t="inlineStr">
        <is>
          <t>FT</t>
        </is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7">
        <f>SUM(E7:I7)</f>
        <v/>
      </c>
      <c r="K7" s="6" t="n">
        <v>250000</v>
      </c>
      <c r="L7" s="4">
        <f>IF(J7&gt;=K7, "LUNAS", IF(J7&gt;0, "MENCICIL", "BELUM BAYAR"))</f>
        <v/>
      </c>
      <c r="M7" s="5" t="inlineStr"/>
    </row>
    <row r="8" ht="20" customHeight="1">
      <c r="A8" s="8" t="n">
        <v>4</v>
      </c>
      <c r="B8" s="9" t="inlineStr">
        <is>
          <t>Novelia Harlinda (Veli)</t>
        </is>
      </c>
      <c r="C8" s="9" t="inlineStr">
        <is>
          <t>Pendidikan Teknik Informatika</t>
        </is>
      </c>
      <c r="D8" s="8" t="inlineStr">
        <is>
          <t>FT</t>
        </is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1">
        <f>SUM(E8:I8)</f>
        <v/>
      </c>
      <c r="K8" s="10" t="n">
        <v>250000</v>
      </c>
      <c r="L8" s="8">
        <f>IF(J8&gt;=K8, "LUNAS", IF(J8&gt;0, "MENCICIL", "BELUM BAYAR"))</f>
        <v/>
      </c>
      <c r="M8" s="9" t="inlineStr"/>
    </row>
    <row r="9" ht="20" customHeight="1">
      <c r="A9" s="4" t="n">
        <v>5</v>
      </c>
      <c r="B9" s="5" t="inlineStr">
        <is>
          <t>Dinda Amelia Putri</t>
        </is>
      </c>
      <c r="C9" s="5" t="inlineStr">
        <is>
          <t>Pendidikan Administrasi Perkantoran</t>
        </is>
      </c>
      <c r="D9" s="4" t="inlineStr">
        <is>
          <t>FEB</t>
        </is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7">
        <f>SUM(E9:I9)</f>
        <v/>
      </c>
      <c r="K9" s="6" t="n">
        <v>250000</v>
      </c>
      <c r="L9" s="4">
        <f>IF(J9&gt;=K9, "LUNAS", IF(J9&gt;0, "MENCICIL", "BELUM BAYAR"))</f>
        <v/>
      </c>
      <c r="M9" s="5" t="inlineStr"/>
    </row>
    <row r="10" ht="20" customHeight="1">
      <c r="A10" s="8" t="n">
        <v>6</v>
      </c>
      <c r="B10" s="9" t="inlineStr">
        <is>
          <t>Faidatul Anugraheni M.</t>
        </is>
      </c>
      <c r="C10" s="9" t="inlineStr">
        <is>
          <t>Pendidikan Administrasi Perkantoran</t>
        </is>
      </c>
      <c r="D10" s="8" t="inlineStr">
        <is>
          <t>FEB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1">
        <f>SUM(E10:I10)</f>
        <v/>
      </c>
      <c r="K10" s="10" t="n">
        <v>250000</v>
      </c>
      <c r="L10" s="8">
        <f>IF(J10&gt;=K10, "LUNAS", IF(J10&gt;0, "MENCICIL", "BELUM BAYAR"))</f>
        <v/>
      </c>
      <c r="M10" s="9" t="inlineStr"/>
    </row>
    <row r="11" ht="20" customHeight="1">
      <c r="A11" s="4" t="n">
        <v>7</v>
      </c>
      <c r="B11" s="5" t="inlineStr">
        <is>
          <t>Intan Milansari</t>
        </is>
      </c>
      <c r="C11" s="5" t="inlineStr">
        <is>
          <t>Biologi</t>
        </is>
      </c>
      <c r="D11" s="4" t="inlineStr">
        <is>
          <t>FMIPA</t>
        </is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7">
        <f>SUM(E11:I11)</f>
        <v/>
      </c>
      <c r="K11" s="6" t="n">
        <v>250000</v>
      </c>
      <c r="L11" s="4">
        <f>IF(J11&gt;=K11, "LUNAS", IF(J11&gt;0, "MENCICIL", "BELUM BAYAR"))</f>
        <v/>
      </c>
      <c r="M11" s="5" t="inlineStr"/>
    </row>
    <row r="12" ht="20" customHeight="1">
      <c r="A12" s="8" t="n">
        <v>8</v>
      </c>
      <c r="B12" s="9" t="inlineStr">
        <is>
          <t>Zalfa Khoirunnisa</t>
        </is>
      </c>
      <c r="C12" s="9" t="inlineStr">
        <is>
          <t>Biologi</t>
        </is>
      </c>
      <c r="D12" s="8" t="inlineStr">
        <is>
          <t>FMIPA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1">
        <f>SUM(E12:I12)</f>
        <v/>
      </c>
      <c r="K12" s="10" t="n">
        <v>250000</v>
      </c>
      <c r="L12" s="8">
        <f>IF(J12&gt;=K12, "LUNAS", IF(J12&gt;0, "MENCICIL", "BELUM BAYAR"))</f>
        <v/>
      </c>
      <c r="M12" s="9" t="inlineStr"/>
    </row>
    <row r="13" ht="20" customHeight="1">
      <c r="A13" s="4" t="n">
        <v>9</v>
      </c>
      <c r="B13" s="5" t="inlineStr">
        <is>
          <t>Alvina Aulia Az Zahra</t>
        </is>
      </c>
      <c r="C13" s="5" t="inlineStr">
        <is>
          <t>Teknologi Pendidikan</t>
        </is>
      </c>
      <c r="D13" s="4" t="inlineStr">
        <is>
          <t>FIP</t>
        </is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7">
        <f>SUM(E13:I13)</f>
        <v/>
      </c>
      <c r="K13" s="6" t="n">
        <v>250000</v>
      </c>
      <c r="L13" s="4">
        <f>IF(J13&gt;=K13, "LUNAS", IF(J13&gt;0, "MENCICIL", "BELUM BAYAR"))</f>
        <v/>
      </c>
      <c r="M13" s="5" t="inlineStr"/>
    </row>
    <row r="14" ht="20" customHeight="1">
      <c r="A14" s="8" t="n">
        <v>10</v>
      </c>
      <c r="B14" s="9" t="inlineStr">
        <is>
          <t>Krissandra Siagian</t>
        </is>
      </c>
      <c r="C14" s="9" t="inlineStr">
        <is>
          <t>Teknologi Pendidikan</t>
        </is>
      </c>
      <c r="D14" s="8" t="inlineStr">
        <is>
          <t>FIP</t>
        </is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1">
        <f>SUM(E14:I14)</f>
        <v/>
      </c>
      <c r="K14" s="10" t="n">
        <v>250000</v>
      </c>
      <c r="L14" s="8">
        <f>IF(J14&gt;=K14, "LUNAS", IF(J14&gt;0, "MENCICIL", "BELUM BAYAR"))</f>
        <v/>
      </c>
      <c r="M14" s="9" t="inlineStr"/>
    </row>
    <row r="15" ht="24" customHeight="1">
      <c r="A15" s="12" t="n"/>
      <c r="B15" s="13" t="inlineStr">
        <is>
          <t>TOTAL KAS TIM TERKUMPUL</t>
        </is>
      </c>
      <c r="C15" s="12" t="n"/>
      <c r="D15" s="12" t="n"/>
      <c r="E15" s="14">
        <f>SUM(E5:E14)</f>
        <v/>
      </c>
      <c r="F15" s="14">
        <f>SUM(F5:F14)</f>
        <v/>
      </c>
      <c r="G15" s="14">
        <f>SUM(G5:G14)</f>
        <v/>
      </c>
      <c r="H15" s="14">
        <f>SUM(H5:H14)</f>
        <v/>
      </c>
      <c r="I15" s="14">
        <f>SUM(I5:I14)</f>
        <v/>
      </c>
      <c r="J15" s="14">
        <f>SUM(J5:J14)</f>
        <v/>
      </c>
      <c r="K15" s="14">
        <f>SUM(K5:K14)</f>
        <v/>
      </c>
      <c r="L15" s="12" t="n"/>
      <c r="M15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3" customWidth="1" min="4" max="4"/>
    <col width="55" customWidth="1" min="5" max="5"/>
    <col width="16" customWidth="1" min="6" max="6"/>
    <col width="18" customWidth="1" min="7" max="7"/>
    <col width="17" customWidth="1" min="8" max="8"/>
    <col width="17" customWidth="1" min="9" max="9"/>
    <col width="23" customWidth="1" min="10" max="10"/>
  </cols>
  <sheetData>
    <row r="1">
      <c r="A1" s="1" t="inlineStr">
        <is>
          <t>TIM PLK NIRANTARA 2027 — BUKU KAS UMUM &amp; ARUS KAS RIIL</t>
        </is>
      </c>
    </row>
    <row r="2">
      <c r="A2" s="2" t="inlineStr">
        <is>
          <t>Pencatatan Seluruh Uang Masuk, Belanja Operasional Posko &amp; Kegiatan Proker | Wajib Sertakan Nota/Bukti Transfer</t>
        </is>
      </c>
    </row>
    <row r="3"/>
    <row r="4" ht="28" customHeight="1">
      <c r="A4" s="3" t="inlineStr">
        <is>
          <t>No</t>
        </is>
      </c>
      <c r="B4" s="3" t="inlineStr">
        <is>
          <t>Tanggal</t>
        </is>
      </c>
      <c r="C4" s="3" t="inlineStr">
        <is>
          <t>Kode Akun</t>
        </is>
      </c>
      <c r="D4" s="3" t="inlineStr">
        <is>
          <t>Kategori Transaksi</t>
        </is>
      </c>
      <c r="E4" s="3" t="inlineStr">
        <is>
          <t>Deskripsi / Uraian Pengeluaran/Pemasukan</t>
        </is>
      </c>
      <c r="F4" s="3" t="inlineStr">
        <is>
          <t>Debit (Masuk)</t>
        </is>
      </c>
      <c r="G4" s="3" t="inlineStr">
        <is>
          <t>Kredit (Keluar)</t>
        </is>
      </c>
      <c r="H4" s="3" t="inlineStr">
        <is>
          <t>Saldo Berjalan</t>
        </is>
      </c>
      <c r="I4" s="3" t="inlineStr">
        <is>
          <t>No. Nota / SPJ</t>
        </is>
      </c>
      <c r="J4" s="3" t="inlineStr">
        <is>
          <t>PIC Penanggung Jawab</t>
        </is>
      </c>
    </row>
    <row r="5" ht="20" customHeight="1">
      <c r="A5" s="4" t="n">
        <v>1</v>
      </c>
      <c r="B5" s="4" t="inlineStr">
        <is>
          <t>01/11/2026</t>
        </is>
      </c>
      <c r="C5" s="4" t="inlineStr">
        <is>
          <t>IN-KAS-01</t>
        </is>
      </c>
      <c r="D5" s="5" t="inlineStr">
        <is>
          <t>Kas Bulanan</t>
        </is>
      </c>
      <c r="E5" s="5" t="inlineStr">
        <is>
          <t>Iuran Kas 10 Anggota Bulan November 2026</t>
        </is>
      </c>
      <c r="F5" s="6" t="n">
        <v>500000</v>
      </c>
      <c r="G5" s="6" t="n">
        <v>0</v>
      </c>
      <c r="H5" s="7">
        <f>F5-G5</f>
        <v/>
      </c>
      <c r="I5" s="4" t="inlineStr">
        <is>
          <t>KAS-NOV</t>
        </is>
      </c>
      <c r="J5" s="5" t="inlineStr">
        <is>
          <t>Faidatul &amp; Zalfa</t>
        </is>
      </c>
    </row>
    <row r="6" ht="20" customHeight="1">
      <c r="A6" s="4" t="n">
        <v>2</v>
      </c>
      <c r="B6" s="4" t="inlineStr">
        <is>
          <t>03/11/2026</t>
        </is>
      </c>
      <c r="C6" s="4" t="inlineStr">
        <is>
          <t>OUT-ADM-01</t>
        </is>
      </c>
      <c r="D6" s="5" t="inlineStr">
        <is>
          <t>Kesekretariatan</t>
        </is>
      </c>
      <c r="E6" s="5" t="inlineStr">
        <is>
          <t>Penggandaan Instrumen Cetak &amp; Map Survei Lapangan</t>
        </is>
      </c>
      <c r="F6" s="6" t="n">
        <v>0</v>
      </c>
      <c r="G6" s="6" t="n">
        <v>75000</v>
      </c>
      <c r="H6" s="7">
        <f>H5+F6-G6</f>
        <v/>
      </c>
      <c r="I6" s="4" t="inlineStr">
        <is>
          <t>NOTA-001</t>
        </is>
      </c>
      <c r="J6" s="5" t="inlineStr">
        <is>
          <t>Dinda Amelia</t>
        </is>
      </c>
    </row>
    <row r="7" ht="20" customHeight="1">
      <c r="A7" s="4" t="n">
        <v>3</v>
      </c>
      <c r="B7" s="4" t="inlineStr">
        <is>
          <t>05/11/2026</t>
        </is>
      </c>
      <c r="C7" s="4" t="inlineStr">
        <is>
          <t>OUT-SUR-01</t>
        </is>
      </c>
      <c r="D7" s="5" t="inlineStr">
        <is>
          <t>Operasional Lapangan</t>
        </is>
      </c>
      <c r="E7" s="5" t="inlineStr">
        <is>
          <t>Bahan Bakar Armada Survei Legalitas Klaten (3 Motor)</t>
        </is>
      </c>
      <c r="F7" s="6" t="n">
        <v>0</v>
      </c>
      <c r="G7" s="6" t="n">
        <v>100000</v>
      </c>
      <c r="H7" s="7">
        <f>H6+F7-G7</f>
        <v/>
      </c>
      <c r="I7" s="4" t="inlineStr">
        <is>
          <t>NOTA-002</t>
        </is>
      </c>
      <c r="J7" s="5" t="inlineStr">
        <is>
          <t>Riski</t>
        </is>
      </c>
    </row>
    <row r="8" ht="20" customHeight="1">
      <c r="A8" s="4" t="n">
        <v>4</v>
      </c>
      <c r="B8" s="15" t="n"/>
      <c r="C8" s="15" t="n"/>
      <c r="D8" s="15" t="n"/>
      <c r="E8" s="15" t="n"/>
      <c r="F8" s="16" t="n">
        <v>0</v>
      </c>
      <c r="G8" s="16" t="n">
        <v>0</v>
      </c>
      <c r="H8" s="17">
        <f>H7+F8-G8</f>
        <v/>
      </c>
      <c r="I8" s="15" t="n"/>
      <c r="J8" s="15" t="n"/>
    </row>
    <row r="9" ht="20" customHeight="1">
      <c r="A9" s="4" t="n">
        <v>5</v>
      </c>
      <c r="B9" s="15" t="n"/>
      <c r="C9" s="15" t="n"/>
      <c r="D9" s="15" t="n"/>
      <c r="E9" s="15" t="n"/>
      <c r="F9" s="16" t="n">
        <v>0</v>
      </c>
      <c r="G9" s="16" t="n">
        <v>0</v>
      </c>
      <c r="H9" s="17">
        <f>H8+F9-G9</f>
        <v/>
      </c>
      <c r="I9" s="15" t="n"/>
      <c r="J9" s="15" t="n"/>
    </row>
    <row r="10" ht="20" customHeight="1">
      <c r="A10" s="4" t="n">
        <v>6</v>
      </c>
      <c r="B10" s="15" t="n"/>
      <c r="C10" s="15" t="n"/>
      <c r="D10" s="15" t="n"/>
      <c r="E10" s="15" t="n"/>
      <c r="F10" s="16" t="n">
        <v>0</v>
      </c>
      <c r="G10" s="16" t="n">
        <v>0</v>
      </c>
      <c r="H10" s="17">
        <f>H9+F10-G10</f>
        <v/>
      </c>
      <c r="I10" s="15" t="n"/>
      <c r="J10" s="15" t="n"/>
    </row>
    <row r="11" ht="20" customHeight="1">
      <c r="A11" s="4" t="n">
        <v>7</v>
      </c>
      <c r="B11" s="15" t="n"/>
      <c r="C11" s="15" t="n"/>
      <c r="D11" s="15" t="n"/>
      <c r="E11" s="15" t="n"/>
      <c r="F11" s="16" t="n">
        <v>0</v>
      </c>
      <c r="G11" s="16" t="n">
        <v>0</v>
      </c>
      <c r="H11" s="17">
        <f>H10+F11-G11</f>
        <v/>
      </c>
      <c r="I11" s="15" t="n"/>
      <c r="J11" s="15" t="n"/>
    </row>
    <row r="12" ht="20" customHeight="1">
      <c r="A12" s="4" t="n">
        <v>8</v>
      </c>
      <c r="B12" s="15" t="n"/>
      <c r="C12" s="15" t="n"/>
      <c r="D12" s="15" t="n"/>
      <c r="E12" s="15" t="n"/>
      <c r="F12" s="16" t="n">
        <v>0</v>
      </c>
      <c r="G12" s="16" t="n">
        <v>0</v>
      </c>
      <c r="H12" s="17">
        <f>H11+F12-G12</f>
        <v/>
      </c>
      <c r="I12" s="15" t="n"/>
      <c r="J12" s="15" t="n"/>
    </row>
    <row r="13" ht="20" customHeight="1">
      <c r="A13" s="4" t="n">
        <v>9</v>
      </c>
      <c r="B13" s="15" t="n"/>
      <c r="C13" s="15" t="n"/>
      <c r="D13" s="15" t="n"/>
      <c r="E13" s="15" t="n"/>
      <c r="F13" s="16" t="n">
        <v>0</v>
      </c>
      <c r="G13" s="16" t="n">
        <v>0</v>
      </c>
      <c r="H13" s="17">
        <f>H12+F13-G13</f>
        <v/>
      </c>
      <c r="I13" s="15" t="n"/>
      <c r="J13" s="15" t="n"/>
    </row>
    <row r="14" ht="20" customHeight="1">
      <c r="A14" s="4" t="n">
        <v>10</v>
      </c>
      <c r="B14" s="15" t="n"/>
      <c r="C14" s="15" t="n"/>
      <c r="D14" s="15" t="n"/>
      <c r="E14" s="15" t="n"/>
      <c r="F14" s="16" t="n">
        <v>0</v>
      </c>
      <c r="G14" s="16" t="n">
        <v>0</v>
      </c>
      <c r="H14" s="17">
        <f>H13+F14-G14</f>
        <v/>
      </c>
      <c r="I14" s="15" t="n"/>
      <c r="J14" s="15" t="n"/>
    </row>
    <row r="15" ht="20" customHeight="1">
      <c r="A15" s="4" t="n">
        <v>11</v>
      </c>
      <c r="B15" s="15" t="n"/>
      <c r="C15" s="15" t="n"/>
      <c r="D15" s="15" t="n"/>
      <c r="E15" s="15" t="n"/>
      <c r="F15" s="16" t="n">
        <v>0</v>
      </c>
      <c r="G15" s="16" t="n">
        <v>0</v>
      </c>
      <c r="H15" s="17">
        <f>H14+F15-G15</f>
        <v/>
      </c>
      <c r="I15" s="15" t="n"/>
      <c r="J15" s="15" t="n"/>
    </row>
    <row r="16" ht="20" customHeight="1">
      <c r="A16" s="4" t="n">
        <v>12</v>
      </c>
      <c r="B16" s="15" t="n"/>
      <c r="C16" s="15" t="n"/>
      <c r="D16" s="15" t="n"/>
      <c r="E16" s="15" t="n"/>
      <c r="F16" s="16" t="n">
        <v>0</v>
      </c>
      <c r="G16" s="16" t="n">
        <v>0</v>
      </c>
      <c r="H16" s="17">
        <f>H15+F16-G16</f>
        <v/>
      </c>
      <c r="I16" s="15" t="n"/>
      <c r="J16" s="15" t="n"/>
    </row>
    <row r="17" ht="20" customHeight="1">
      <c r="A17" s="4" t="n">
        <v>13</v>
      </c>
      <c r="B17" s="15" t="n"/>
      <c r="C17" s="15" t="n"/>
      <c r="D17" s="15" t="n"/>
      <c r="E17" s="15" t="n"/>
      <c r="F17" s="16" t="n">
        <v>0</v>
      </c>
      <c r="G17" s="16" t="n">
        <v>0</v>
      </c>
      <c r="H17" s="17">
        <f>H16+F17-G17</f>
        <v/>
      </c>
      <c r="I17" s="15" t="n"/>
      <c r="J17" s="15" t="n"/>
    </row>
    <row r="18" ht="20" customHeight="1">
      <c r="A18" s="4" t="n">
        <v>14</v>
      </c>
      <c r="B18" s="15" t="n"/>
      <c r="C18" s="15" t="n"/>
      <c r="D18" s="15" t="n"/>
      <c r="E18" s="15" t="n"/>
      <c r="F18" s="16" t="n">
        <v>0</v>
      </c>
      <c r="G18" s="16" t="n">
        <v>0</v>
      </c>
      <c r="H18" s="17">
        <f>H17+F18-G18</f>
        <v/>
      </c>
      <c r="I18" s="15" t="n"/>
      <c r="J18" s="15" t="n"/>
    </row>
    <row r="19" ht="20" customHeight="1">
      <c r="A19" s="4" t="n">
        <v>15</v>
      </c>
      <c r="B19" s="15" t="n"/>
      <c r="C19" s="15" t="n"/>
      <c r="D19" s="15" t="n"/>
      <c r="E19" s="15" t="n"/>
      <c r="F19" s="16" t="n">
        <v>0</v>
      </c>
      <c r="G19" s="16" t="n">
        <v>0</v>
      </c>
      <c r="H19" s="17">
        <f>H18+F19-G19</f>
        <v/>
      </c>
      <c r="I19" s="15" t="n"/>
      <c r="J19" s="15" t="n"/>
    </row>
    <row r="20" ht="20" customHeight="1">
      <c r="A20" s="4" t="n">
        <v>16</v>
      </c>
      <c r="B20" s="15" t="n"/>
      <c r="C20" s="15" t="n"/>
      <c r="D20" s="15" t="n"/>
      <c r="E20" s="15" t="n"/>
      <c r="F20" s="16" t="n">
        <v>0</v>
      </c>
      <c r="G20" s="16" t="n">
        <v>0</v>
      </c>
      <c r="H20" s="17">
        <f>H19+F20-G20</f>
        <v/>
      </c>
      <c r="I20" s="15" t="n"/>
      <c r="J20" s="15" t="n"/>
    </row>
    <row r="21" ht="20" customHeight="1">
      <c r="A21" s="4" t="n">
        <v>17</v>
      </c>
      <c r="B21" s="15" t="n"/>
      <c r="C21" s="15" t="n"/>
      <c r="D21" s="15" t="n"/>
      <c r="E21" s="15" t="n"/>
      <c r="F21" s="16" t="n">
        <v>0</v>
      </c>
      <c r="G21" s="16" t="n">
        <v>0</v>
      </c>
      <c r="H21" s="17">
        <f>H20+F21-G21</f>
        <v/>
      </c>
      <c r="I21" s="15" t="n"/>
      <c r="J21" s="15" t="n"/>
    </row>
    <row r="22" ht="20" customHeight="1">
      <c r="A22" s="4" t="n">
        <v>18</v>
      </c>
      <c r="B22" s="15" t="n"/>
      <c r="C22" s="15" t="n"/>
      <c r="D22" s="15" t="n"/>
      <c r="E22" s="15" t="n"/>
      <c r="F22" s="16" t="n">
        <v>0</v>
      </c>
      <c r="G22" s="16" t="n">
        <v>0</v>
      </c>
      <c r="H22" s="17">
        <f>H21+F22-G22</f>
        <v/>
      </c>
      <c r="I22" s="15" t="n"/>
      <c r="J22" s="15" t="n"/>
    </row>
    <row r="23" ht="20" customHeight="1">
      <c r="A23" s="4" t="n">
        <v>19</v>
      </c>
      <c r="B23" s="15" t="n"/>
      <c r="C23" s="15" t="n"/>
      <c r="D23" s="15" t="n"/>
      <c r="E23" s="15" t="n"/>
      <c r="F23" s="16" t="n">
        <v>0</v>
      </c>
      <c r="G23" s="16" t="n">
        <v>0</v>
      </c>
      <c r="H23" s="17">
        <f>H22+F23-G23</f>
        <v/>
      </c>
      <c r="I23" s="15" t="n"/>
      <c r="J23" s="15" t="n"/>
    </row>
    <row r="24" ht="20" customHeight="1">
      <c r="A24" s="4" t="n">
        <v>20</v>
      </c>
      <c r="B24" s="15" t="n"/>
      <c r="C24" s="15" t="n"/>
      <c r="D24" s="15" t="n"/>
      <c r="E24" s="15" t="n"/>
      <c r="F24" s="16" t="n">
        <v>0</v>
      </c>
      <c r="G24" s="16" t="n">
        <v>0</v>
      </c>
      <c r="H24" s="17">
        <f>H23+F24-G24</f>
        <v/>
      </c>
      <c r="I24" s="15" t="n"/>
      <c r="J24" s="15" t="n"/>
    </row>
    <row r="25" ht="20" customHeight="1">
      <c r="A25" s="4" t="n">
        <v>21</v>
      </c>
      <c r="B25" s="15" t="n"/>
      <c r="C25" s="15" t="n"/>
      <c r="D25" s="15" t="n"/>
      <c r="E25" s="15" t="n"/>
      <c r="F25" s="16" t="n">
        <v>0</v>
      </c>
      <c r="G25" s="16" t="n">
        <v>0</v>
      </c>
      <c r="H25" s="17">
        <f>H24+F25-G25</f>
        <v/>
      </c>
      <c r="I25" s="15" t="n"/>
      <c r="J25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9" customWidth="1" min="3" max="3"/>
    <col width="12" customWidth="1" min="4" max="4"/>
    <col width="12" customWidth="1" min="5" max="5"/>
    <col width="20" customWidth="1" min="6" max="6"/>
    <col width="22" customWidth="1" min="7" max="7"/>
    <col width="21" customWidth="1" min="8" max="8"/>
    <col width="28" customWidth="1" min="9" max="9"/>
    <col width="47" customWidth="1" min="10" max="10"/>
  </cols>
  <sheetData>
    <row r="1">
      <c r="A1" s="1" t="inlineStr">
        <is>
          <t>TIM PLK NIRANTARA 2027 — RENCANA ANGGARAN BIAYA (RAB INDUK)</t>
        </is>
      </c>
    </row>
    <row r="2">
      <c r="A2" s="2" t="inlineStr">
        <is>
          <t>Estimasi Kebutuhan Posko &amp; Program Kerja 4 Divisi | Sumber Dana: Kas Mandiri, Sponsor, &amp; Bantuan UNY (Maret)</t>
        </is>
      </c>
    </row>
    <row r="3"/>
    <row r="4" ht="28" customHeight="1">
      <c r="A4" s="3" t="inlineStr">
        <is>
          <t>No</t>
        </is>
      </c>
      <c r="B4" s="3" t="inlineStr">
        <is>
          <t>Divisi / Pos Alokasi</t>
        </is>
      </c>
      <c r="C4" s="3" t="inlineStr">
        <is>
          <t>Rincian Item Kebutuhan</t>
        </is>
      </c>
      <c r="D4" s="3" t="inlineStr">
        <is>
          <t>Volume</t>
        </is>
      </c>
      <c r="E4" s="3" t="inlineStr">
        <is>
          <t>Satuan</t>
        </is>
      </c>
      <c r="F4" s="3" t="inlineStr">
        <is>
          <t>Harga Satuan (Rp)</t>
        </is>
      </c>
      <c r="G4" s="3" t="inlineStr">
        <is>
          <t>Total Estimasi (Rp)</t>
        </is>
      </c>
      <c r="H4" s="3" t="inlineStr">
        <is>
          <t>Sumber Pembiayaan</t>
        </is>
      </c>
      <c r="I4" s="3" t="inlineStr">
        <is>
          <t>Target Waktu Realisasi</t>
        </is>
      </c>
      <c r="J4" s="3" t="inlineStr">
        <is>
          <t>Catatan Strategis</t>
        </is>
      </c>
    </row>
    <row r="5" ht="20" customHeight="1">
      <c r="A5" s="4" t="n">
        <v>1</v>
      </c>
      <c r="B5" s="5" t="inlineStr">
        <is>
          <t>Posko Majegan</t>
        </is>
      </c>
      <c r="C5" s="5" t="inlineStr">
        <is>
          <t>Patungan Listrik PLN Pascabayar</t>
        </is>
      </c>
      <c r="D5" s="4" t="n">
        <v>5</v>
      </c>
      <c r="E5" s="4" t="inlineStr">
        <is>
          <t>Bulan</t>
        </is>
      </c>
      <c r="F5" s="6" t="n">
        <v>100000</v>
      </c>
      <c r="G5" s="7">
        <f>D5*F5</f>
        <v/>
      </c>
      <c r="H5" s="4" t="inlineStr">
        <is>
          <t>Kas Posko</t>
        </is>
      </c>
      <c r="I5" s="4" t="inlineStr">
        <is>
          <t>Februari - Juni 2027</t>
        </is>
      </c>
      <c r="J5" s="5" t="inlineStr">
        <is>
          <t>Dibayar bulanan pasca huni</t>
        </is>
      </c>
    </row>
    <row r="6" ht="20" customHeight="1">
      <c r="A6" s="4" t="n">
        <v>2</v>
      </c>
      <c r="B6" s="5" t="inlineStr">
        <is>
          <t>Posko Majegan</t>
        </is>
      </c>
      <c r="C6" s="5" t="inlineStr">
        <is>
          <t>Patungan WiFi IndiHome 14 Mbps</t>
        </is>
      </c>
      <c r="D6" s="4" t="n">
        <v>5</v>
      </c>
      <c r="E6" s="4" t="inlineStr">
        <is>
          <t>Bulan</t>
        </is>
      </c>
      <c r="F6" s="6" t="n">
        <v>75000</v>
      </c>
      <c r="G6" s="7">
        <f>D6*F6</f>
        <v/>
      </c>
      <c r="H6" s="4" t="inlineStr">
        <is>
          <t>Kas Posko</t>
        </is>
      </c>
      <c r="I6" s="4" t="inlineStr">
        <is>
          <t>Februari - Juni 2027</t>
        </is>
      </c>
      <c r="J6" s="5" t="inlineStr">
        <is>
          <t>Paket internet lancar untuk koding &amp; laporan</t>
        </is>
      </c>
    </row>
    <row r="7" ht="20" customHeight="1">
      <c r="A7" s="4" t="n">
        <v>3</v>
      </c>
      <c r="B7" s="5" t="inlineStr">
        <is>
          <t>Posko Majegan</t>
        </is>
      </c>
      <c r="C7" s="5" t="inlineStr">
        <is>
          <t>Pembersih Toilet &amp; Sanitasi (Porstex/WPC)</t>
        </is>
      </c>
      <c r="D7" s="4" t="n">
        <v>2</v>
      </c>
      <c r="E7" s="4" t="inlineStr">
        <is>
          <t>Botol</t>
        </is>
      </c>
      <c r="F7" s="6" t="n">
        <v>15000</v>
      </c>
      <c r="G7" s="7">
        <f>D7*F7</f>
        <v/>
      </c>
      <c r="H7" s="4" t="inlineStr">
        <is>
          <t>Kas Posko</t>
        </is>
      </c>
      <c r="I7" s="4" t="inlineStr">
        <is>
          <t>Akhir Jan / Awal Feb 2027</t>
        </is>
      </c>
      <c r="J7" s="5" t="inlineStr">
        <is>
          <t>Dibeli pasca renovasi posko selesai</t>
        </is>
      </c>
    </row>
    <row r="8" ht="20" customHeight="1">
      <c r="A8" s="4" t="n">
        <v>4</v>
      </c>
      <c r="B8" s="5" t="inlineStr">
        <is>
          <t>Posko Majegan</t>
        </is>
      </c>
      <c r="C8" s="5" t="inlineStr">
        <is>
          <t>Alat Pel Lantai (Gagang + Kain)</t>
        </is>
      </c>
      <c r="D8" s="4" t="n">
        <v>1</v>
      </c>
      <c r="E8" s="4" t="inlineStr">
        <is>
          <t>Set</t>
        </is>
      </c>
      <c r="F8" s="6" t="n">
        <v>45000</v>
      </c>
      <c r="G8" s="7">
        <f>D8*F8</f>
        <v/>
      </c>
      <c r="H8" s="4" t="inlineStr">
        <is>
          <t>Kas Posko</t>
        </is>
      </c>
      <c r="I8" s="4" t="inlineStr">
        <is>
          <t>Akhir Jan / Awal Feb 2027</t>
        </is>
      </c>
      <c r="J8" s="5" t="inlineStr">
        <is>
          <t>Pembersihan lantai ruang posko harian</t>
        </is>
      </c>
    </row>
    <row r="9" ht="20" customHeight="1">
      <c r="A9" s="4" t="n">
        <v>5</v>
      </c>
      <c r="B9" s="5" t="inlineStr">
        <is>
          <t>Posko Majegan</t>
        </is>
      </c>
      <c r="C9" s="5" t="inlineStr">
        <is>
          <t>Sapu Lantai Rumah &amp; Teras</t>
        </is>
      </c>
      <c r="D9" s="4" t="n">
        <v>2</v>
      </c>
      <c r="E9" s="4" t="inlineStr">
        <is>
          <t>Buah</t>
        </is>
      </c>
      <c r="F9" s="6" t="n">
        <v>17500</v>
      </c>
      <c r="G9" s="7">
        <f>D9*F9</f>
        <v/>
      </c>
      <c r="H9" s="4" t="inlineStr">
        <is>
          <t>Kas Posko</t>
        </is>
      </c>
      <c r="I9" s="4" t="inlineStr">
        <is>
          <t>Akhir Jan / Awal Feb 2027</t>
        </is>
      </c>
      <c r="J9" s="5" t="inlineStr">
        <is>
          <t>Kebersihan kamar &amp; ruang tengah</t>
        </is>
      </c>
    </row>
    <row r="10" ht="20" customHeight="1">
      <c r="A10" s="4" t="n">
        <v>6</v>
      </c>
      <c r="B10" s="5" t="inlineStr">
        <is>
          <t>Posko Majegan</t>
        </is>
      </c>
      <c r="C10" s="5" t="inlineStr">
        <is>
          <t>Serok Sampah Plastik (Pengki)</t>
        </is>
      </c>
      <c r="D10" s="4" t="n">
        <v>2</v>
      </c>
      <c r="E10" s="4" t="inlineStr">
        <is>
          <t>Buah</t>
        </is>
      </c>
      <c r="F10" s="6" t="n">
        <v>12500</v>
      </c>
      <c r="G10" s="7">
        <f>D10*F10</f>
        <v/>
      </c>
      <c r="H10" s="4" t="inlineStr">
        <is>
          <t>Kas Posko</t>
        </is>
      </c>
      <c r="I10" s="4" t="inlineStr">
        <is>
          <t>Akhir Jan / Awal Feb 2027</t>
        </is>
      </c>
      <c r="J10" s="5" t="inlineStr">
        <is>
          <t>Alat pembersih harian</t>
        </is>
      </c>
    </row>
    <row r="11" ht="20" customHeight="1">
      <c r="A11" s="4" t="n">
        <v>7</v>
      </c>
      <c r="B11" s="5" t="inlineStr">
        <is>
          <t>Posko Majegan</t>
        </is>
      </c>
      <c r="C11" s="5" t="inlineStr">
        <is>
          <t>Gorden Pintu &amp; Jendela Posko</t>
        </is>
      </c>
      <c r="D11" s="4" t="n">
        <v>1</v>
      </c>
      <c r="E11" s="4" t="inlineStr">
        <is>
          <t>Set</t>
        </is>
      </c>
      <c r="F11" s="6" t="n">
        <v>100000</v>
      </c>
      <c r="G11" s="7">
        <f>D11*F11</f>
        <v/>
      </c>
      <c r="H11" s="4" t="inlineStr">
        <is>
          <t>Kas Posko</t>
        </is>
      </c>
      <c r="I11" s="4" t="inlineStr">
        <is>
          <t>Akhir Jan / Awal Feb 2027</t>
        </is>
      </c>
      <c r="J11" s="5" t="inlineStr">
        <is>
          <t>Privasi kamar tidur mahasiswi</t>
        </is>
      </c>
    </row>
    <row r="12" ht="20" customHeight="1">
      <c r="A12" s="4" t="n">
        <v>8</v>
      </c>
      <c r="B12" s="5" t="inlineStr">
        <is>
          <t>Posko Majegan</t>
        </is>
      </c>
      <c r="C12" s="5" t="inlineStr">
        <is>
          <t>Trashbag / Kantong Sampah Besar</t>
        </is>
      </c>
      <c r="D12" s="4" t="n">
        <v>2</v>
      </c>
      <c r="E12" s="4" t="inlineStr">
        <is>
          <t>Pak</t>
        </is>
      </c>
      <c r="F12" s="6" t="n">
        <v>15000</v>
      </c>
      <c r="G12" s="7">
        <f>D12*F12</f>
        <v/>
      </c>
      <c r="H12" s="4" t="inlineStr">
        <is>
          <t>Kas Posko</t>
        </is>
      </c>
      <c r="I12" s="4" t="inlineStr">
        <is>
          <t>Akhir Jan / Awal Feb 2027</t>
        </is>
      </c>
      <c r="J12" s="5" t="inlineStr">
        <is>
          <t>Pengelolaan sampah posko agar rapi</t>
        </is>
      </c>
    </row>
    <row r="13" ht="20" customHeight="1">
      <c r="A13" s="4" t="n">
        <v>9</v>
      </c>
      <c r="B13" s="5" t="inlineStr">
        <is>
          <t>Posko Majegan</t>
        </is>
      </c>
      <c r="C13" s="5" t="inlineStr">
        <is>
          <t>Sikat WC Kamar Mandi</t>
        </is>
      </c>
      <c r="D13" s="4" t="n">
        <v>2</v>
      </c>
      <c r="E13" s="4" t="inlineStr">
        <is>
          <t>Buah</t>
        </is>
      </c>
      <c r="F13" s="6" t="n">
        <v>10000</v>
      </c>
      <c r="G13" s="7">
        <f>D13*F13</f>
        <v/>
      </c>
      <c r="H13" s="4" t="inlineStr">
        <is>
          <t>Kas Posko</t>
        </is>
      </c>
      <c r="I13" s="4" t="inlineStr">
        <is>
          <t>Akhir Jan / Awal Feb 2027</t>
        </is>
      </c>
      <c r="J13" s="5" t="inlineStr">
        <is>
          <t>Sanitasi KM 1 dan KM 2</t>
        </is>
      </c>
    </row>
    <row r="14" ht="20" customHeight="1">
      <c r="A14" s="4" t="n">
        <v>10</v>
      </c>
      <c r="B14" s="5" t="inlineStr">
        <is>
          <t>Posko Majegan</t>
        </is>
      </c>
      <c r="C14" s="5" t="inlineStr">
        <is>
          <t>Galon Air Minum Isi Ulang</t>
        </is>
      </c>
      <c r="D14" s="4" t="n">
        <v>2</v>
      </c>
      <c r="E14" s="4" t="inlineStr">
        <is>
          <t>Buah</t>
        </is>
      </c>
      <c r="F14" s="6" t="n">
        <v>50000</v>
      </c>
      <c r="G14" s="7">
        <f>D14*F14</f>
        <v/>
      </c>
      <c r="H14" s="4" t="inlineStr">
        <is>
          <t>Kas Posko</t>
        </is>
      </c>
      <c r="I14" s="4" t="inlineStr">
        <is>
          <t>Akhir Jan / Awal Feb 2027</t>
        </is>
      </c>
      <c r="J14" s="5" t="inlineStr">
        <is>
          <t>Wadah air minum posko</t>
        </is>
      </c>
    </row>
    <row r="15" ht="20" customHeight="1">
      <c r="A15" s="4" t="n">
        <v>11</v>
      </c>
      <c r="B15" s="5" t="inlineStr">
        <is>
          <t>Posko Majegan</t>
        </is>
      </c>
      <c r="C15" s="5" t="inlineStr">
        <is>
          <t>Pump Air Galon (Elektrik/Manual)</t>
        </is>
      </c>
      <c r="D15" s="4" t="n">
        <v>2</v>
      </c>
      <c r="E15" s="4" t="inlineStr">
        <is>
          <t>Buah</t>
        </is>
      </c>
      <c r="F15" s="6" t="n">
        <v>35000</v>
      </c>
      <c r="G15" s="7">
        <f>D15*F15</f>
        <v/>
      </c>
      <c r="H15" s="4" t="inlineStr">
        <is>
          <t>Kas Posko</t>
        </is>
      </c>
      <c r="I15" s="4" t="inlineStr">
        <is>
          <t>Akhir Jan / Awal Feb 2027</t>
        </is>
      </c>
      <c r="J15" s="5" t="inlineStr">
        <is>
          <t>Dapur &amp; ruang tengah</t>
        </is>
      </c>
    </row>
    <row r="16" ht="20" customHeight="1">
      <c r="A16" s="4" t="n">
        <v>12</v>
      </c>
      <c r="B16" s="5" t="inlineStr">
        <is>
          <t>Divisi Biologi</t>
        </is>
      </c>
      <c r="C16" s="5" t="inlineStr">
        <is>
          <t>Bahan Fermentasi Kompos &amp; Molase Eco-Enzyme</t>
        </is>
      </c>
      <c r="D16" s="4" t="n">
        <v>10</v>
      </c>
      <c r="E16" s="4" t="inlineStr">
        <is>
          <t>Liter</t>
        </is>
      </c>
      <c r="F16" s="6" t="n">
        <v>25000</v>
      </c>
      <c r="G16" s="7">
        <f>D16*F16</f>
        <v/>
      </c>
      <c r="H16" s="4" t="inlineStr">
        <is>
          <t>Sponsor / UNY</t>
        </is>
      </c>
      <c r="I16" s="4" t="inlineStr">
        <is>
          <t>Februari - Maret 2027</t>
        </is>
      </c>
      <c r="J16" s="5" t="inlineStr">
        <is>
          <t>Pelatihan pembuatan kompos sampah warga</t>
        </is>
      </c>
    </row>
    <row r="17" ht="20" customHeight="1">
      <c r="A17" s="4" t="n">
        <v>13</v>
      </c>
      <c r="B17" s="5" t="inlineStr">
        <is>
          <t>Divisi TP</t>
        </is>
      </c>
      <c r="C17" s="5" t="inlineStr">
        <is>
          <t>Pencetakan Modul &amp; Media Ajar TK ABA &amp; TPA</t>
        </is>
      </c>
      <c r="D17" s="4" t="n">
        <v>50</v>
      </c>
      <c r="E17" s="4" t="inlineStr">
        <is>
          <t>Eks</t>
        </is>
      </c>
      <c r="F17" s="6" t="n">
        <v>15000</v>
      </c>
      <c r="G17" s="7">
        <f>D17*F17</f>
        <v/>
      </c>
      <c r="H17" s="4" t="inlineStr">
        <is>
          <t>Sponsor / UNY</t>
        </is>
      </c>
      <c r="I17" s="4" t="inlineStr">
        <is>
          <t>Februari - Maret 2027</t>
        </is>
      </c>
      <c r="J17" s="5" t="inlineStr">
        <is>
          <t>Media pembelajaran interaktif murid TK</t>
        </is>
      </c>
    </row>
    <row r="18" ht="20" customHeight="1">
      <c r="A18" s="4" t="n">
        <v>14</v>
      </c>
      <c r="B18" s="5" t="inlineStr">
        <is>
          <t>Divisi PTI</t>
        </is>
      </c>
      <c r="C18" s="5" t="inlineStr">
        <is>
          <t>Hosting &amp; Domain Web Desa / Profil UMKM</t>
        </is>
      </c>
      <c r="D18" s="4" t="n">
        <v>1</v>
      </c>
      <c r="E18" s="4" t="inlineStr">
        <is>
          <t>Paket</t>
        </is>
      </c>
      <c r="F18" s="6" t="n">
        <v>350000</v>
      </c>
      <c r="G18" s="7">
        <f>D18*F18</f>
        <v/>
      </c>
      <c r="H18" s="4" t="inlineStr">
        <is>
          <t>Kas / Sponsor IT</t>
        </is>
      </c>
      <c r="I18" s="4" t="inlineStr">
        <is>
          <t>Januari - Maret 2027</t>
        </is>
      </c>
      <c r="J18" s="5" t="inlineStr">
        <is>
          <t>Digitalisasi profil potensi Desa Wonosari</t>
        </is>
      </c>
    </row>
    <row r="19" ht="20" customHeight="1">
      <c r="A19" s="4" t="n">
        <v>15</v>
      </c>
      <c r="B19" s="5" t="inlineStr">
        <is>
          <t>Divisi PADP</t>
        </is>
      </c>
      <c r="C19" s="5" t="inlineStr">
        <is>
          <t>Fasilitasi Pendaftaran QRIS &amp; Peta Google Maps</t>
        </is>
      </c>
      <c r="D19" s="4" t="n">
        <v>1</v>
      </c>
      <c r="E19" s="4" t="inlineStr">
        <is>
          <t>Paket</t>
        </is>
      </c>
      <c r="F19" s="6" t="n">
        <v>150000</v>
      </c>
      <c r="G19" s="7">
        <f>D19*F19</f>
        <v/>
      </c>
      <c r="H19" s="4" t="inlineStr">
        <is>
          <t>Kas / Sponsor UMKM</t>
        </is>
      </c>
      <c r="I19" s="4" t="inlineStr">
        <is>
          <t>Februari - April 2027</t>
        </is>
      </c>
      <c r="J19" s="5" t="inlineStr">
        <is>
          <t>Plang nama usaha &amp; stiker QRIS warung warga</t>
        </is>
      </c>
    </row>
    <row r="20" ht="24" customHeight="1">
      <c r="A20" s="12" t="n"/>
      <c r="B20" s="12" t="n"/>
      <c r="C20" s="18" t="inlineStr">
        <is>
          <t>TOTAL ESTIMASI RENCANA ANGGARAN BIAYA (RAB)</t>
        </is>
      </c>
      <c r="D20" s="12" t="n"/>
      <c r="E20" s="12" t="n"/>
      <c r="F20" s="12" t="n"/>
      <c r="G20" s="14">
        <f>SUM(G5:G19)</f>
        <v/>
      </c>
      <c r="H20" s="12" t="n"/>
      <c r="I20" s="12" t="n"/>
      <c r="J2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2026-10-26T06:17:44Z</dcterms:created>
  <dcterms:modified xmlns:dcterms="http://purl.org/dc/terms/" xmlns:xsi="http://www.w3.org/2001/XMLSchema-instance" xsi:type="dcterms:W3CDTF">2026-10-26T06:17:44Z</dcterms:modified>
</cp:coreProperties>
</file>